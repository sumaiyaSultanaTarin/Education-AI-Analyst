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  <sheet xmlns:r="http://schemas.openxmlformats.org/officeDocument/2006/relationships" name="Sec AA" sheetId="2" state="visible" r:id="rId2"/>
    <sheet xmlns:r="http://schemas.openxmlformats.org/officeDocument/2006/relationships" name="Sec D" sheetId="3" state="visible" r:id="rId3"/>
    <sheet xmlns:r="http://schemas.openxmlformats.org/officeDocument/2006/relationships" name="Sec 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7" customWidth="1" min="3" max="3"/>
    <col width="86" customWidth="1" min="4" max="4"/>
  </cols>
  <sheetData>
    <row r="1">
      <c r="A1" s="1" t="inlineStr">
        <is>
          <t>Lab 1 (Resubmission) — Login, Registration &amp; Logout with C# and SQL Server</t>
        </is>
      </c>
    </row>
    <row r="2">
      <c r="A2" s="2" t="inlineStr">
        <is>
          <t>CSC 2210 OOP2 · Summer 2025-26 · Sections AA, D, R · Individual · Deadline Tue 25 Aug 2026, 11:59 PM</t>
        </is>
      </c>
    </row>
    <row r="4" ht="62" customHeight="1">
      <c r="A4" s="3" t="inlineStr">
        <is>
          <t>This sheet matches the 8 criteria in the student handout (Lab1_Resubmission_Login_Registration_Logout_SQLServer.docx). Mark the criterion columns on each section sheet and the total calculates itself. A blank row means 'not yet marked', not zero — students who never submit are handled by the -15 final-marks penalty, not by a zero here.</t>
        </is>
      </c>
    </row>
    <row r="6">
      <c r="A6" s="4" t="inlineStr">
        <is>
          <t>Code</t>
        </is>
      </c>
      <c r="B6" s="4" t="inlineStr">
        <is>
          <t>Criterion</t>
        </is>
      </c>
      <c r="C6" s="4" t="inlineStr">
        <is>
          <t>Max</t>
        </is>
      </c>
      <c r="D6" s="4" t="inlineStr">
        <is>
          <t>What earns the marks</t>
        </is>
      </c>
    </row>
    <row r="7" ht="34" customHeight="1">
      <c r="A7" s="5" t="inlineStr">
        <is>
          <t>C1</t>
        </is>
      </c>
      <c r="B7" s="5" t="inlineStr">
        <is>
          <t>Repo link submitted &amp; opens</t>
        </is>
      </c>
      <c r="C7" s="6" t="n">
        <v>2</v>
      </c>
      <c r="D7" s="7" t="inlineStr">
        <is>
          <t>GitHub link posted in Teams and the repository is public and reachable.</t>
        </is>
      </c>
    </row>
    <row r="8" ht="34" customHeight="1">
      <c r="A8" s="5" t="inlineStr">
        <is>
          <t>C2</t>
        </is>
      </c>
      <c r="B8" s="5" t="inlineStr">
        <is>
          <t>Database &amp; table created</t>
        </is>
      </c>
      <c r="C8" s="6" t="n">
        <v>3</v>
      </c>
      <c r="D8" s="7" t="inlineStr">
        <is>
          <t>database.sql is in the repo and creates db_users + tbl_users.</t>
        </is>
      </c>
    </row>
    <row r="9" ht="34" customHeight="1">
      <c r="A9" s="5" t="inlineStr">
        <is>
          <t>C3</t>
        </is>
      </c>
      <c r="B9" s="5" t="inlineStr">
        <is>
          <t>App.config + ConfigurationManager</t>
        </is>
      </c>
      <c r="C9" s="6" t="n">
        <v>3</v>
      </c>
      <c r="D9" s="7" t="inlineStr">
        <is>
          <t>Connection string lives in App.config AND the code reads it with ConfigurationManager. A hardcoded second copy inside the forms is partial credit only.</t>
        </is>
      </c>
    </row>
    <row r="10" ht="34" customHeight="1">
      <c r="A10" s="5" t="inlineStr">
        <is>
          <t>C4</t>
        </is>
      </c>
      <c r="B10" s="5" t="inlineStr">
        <is>
          <t>Registration works</t>
        </is>
      </c>
      <c r="C10" s="6" t="n">
        <v>3</v>
      </c>
      <c r="D10" s="7" t="inlineStr">
        <is>
          <t>Validation, confirm-password, duplicate-username check, and a real INSERT into SQL Server.</t>
        </is>
      </c>
    </row>
    <row r="11" ht="34" customHeight="1">
      <c r="A11" s="5" t="inlineStr">
        <is>
          <t>C5</t>
        </is>
      </c>
      <c r="B11" s="5" t="inlineStr">
        <is>
          <t>Login works</t>
        </is>
      </c>
      <c r="C11" s="6" t="n">
        <v>3</v>
      </c>
      <c r="D11" s="7" t="inlineStr">
        <is>
          <t>Verifies against SQL Server, rejects a wrong password, opens the dashboard on success.</t>
        </is>
      </c>
    </row>
    <row r="12" ht="34" customHeight="1">
      <c r="A12" s="5" t="inlineStr">
        <is>
          <t>C6</t>
        </is>
      </c>
      <c r="B12" s="5" t="inlineStr">
        <is>
          <t>Logout works</t>
        </is>
      </c>
      <c r="C12" s="6" t="n">
        <v>2</v>
      </c>
      <c r="D12" s="7" t="inlineStr">
        <is>
          <t>Returns to the login screen instead of closing the program.</t>
        </is>
      </c>
    </row>
    <row r="13" ht="34" customHeight="1">
      <c r="A13" s="5" t="inlineStr">
        <is>
          <t>C7</t>
        </is>
      </c>
      <c r="B13" s="5" t="inlineStr">
        <is>
          <t>README explains the work</t>
        </is>
      </c>
      <c r="C13" s="6" t="n">
        <v>3</v>
      </c>
      <c r="D13" s="7" t="inlineStr">
        <is>
          <t>In the student's own words: which files changed, what replaced OleDb, why the connection string belongs in App.config, what the @parameters are for.</t>
        </is>
      </c>
    </row>
    <row r="14" ht="34" customHeight="1">
      <c r="A14" s="5" t="inlineStr">
        <is>
          <t>C8</t>
        </is>
      </c>
      <c r="B14" s="5" t="inlineStr">
        <is>
          <t>Screen recording</t>
        </is>
      </c>
      <c r="C14" s="6" t="n">
        <v>1</v>
      </c>
      <c r="D14" s="7" t="inlineStr">
        <is>
          <t>Link opens in incognito, and the student's voice explains the work. Mandatory.</t>
        </is>
      </c>
    </row>
    <row r="15">
      <c r="A15" s="8" t="n"/>
      <c r="B15" s="9" t="inlineStr">
        <is>
          <t>TOTAL</t>
        </is>
      </c>
      <c r="C15" s="10" t="n">
        <v>20</v>
      </c>
      <c r="D15" s="8" t="n"/>
    </row>
    <row r="17" ht="32" customHeight="1">
      <c r="A17" s="11" t="inlineStr">
        <is>
          <t>Bonus: up to +2 for SHA-256 password hashing explained in the README. Check they hash on BOTH register and login — hashing only on register silently breaks login.</t>
        </is>
      </c>
    </row>
  </sheetData>
  <mergeCells count="2">
    <mergeCell ref="A17:D17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42" customWidth="1" min="4" max="4"/>
    <col width="4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12" t="inlineStr">
        <is>
          <t>Lab 1 Resubmission — Section AA (38 students)</t>
        </is>
      </c>
    </row>
    <row r="2">
      <c r="A2" s="3" t="inlineStr">
        <is>
          <t>Paste the GitHub link and video link, then mark C1–C8. Total is automatic. Bonus column is separate.</t>
        </is>
      </c>
    </row>
    <row r="4" ht="44" customHeight="1">
      <c r="A4" s="4" t="inlineStr">
        <is>
          <t>SL</t>
        </is>
      </c>
      <c r="B4" s="4" t="inlineStr">
        <is>
          <t>Student ID</t>
        </is>
      </c>
      <c r="C4" s="4" t="inlineStr">
        <is>
          <t>Name</t>
        </is>
      </c>
      <c r="D4" s="4" t="inlineStr">
        <is>
          <t>GitHub link</t>
        </is>
      </c>
      <c r="E4" s="4" t="inlineStr">
        <is>
          <t>Video link</t>
        </is>
      </c>
      <c r="F4" s="4" t="inlineStr">
        <is>
          <t>C1 (2)</t>
        </is>
      </c>
      <c r="G4" s="4" t="inlineStr">
        <is>
          <t>C2 (3)</t>
        </is>
      </c>
      <c r="H4" s="4" t="inlineStr">
        <is>
          <t>C3 (3)</t>
        </is>
      </c>
      <c r="I4" s="4" t="inlineStr">
        <is>
          <t>C4 (3)</t>
        </is>
      </c>
      <c r="J4" s="4" t="inlineStr">
        <is>
          <t>C5 (3)</t>
        </is>
      </c>
      <c r="K4" s="4" t="inlineStr">
        <is>
          <t>C6 (2)</t>
        </is>
      </c>
      <c r="L4" s="4" t="inlineStr">
        <is>
          <t>C7 (3)</t>
        </is>
      </c>
      <c r="M4" s="4" t="inlineStr">
        <is>
          <t>C8 (1)</t>
        </is>
      </c>
      <c r="N4" s="4" t="inlineStr">
        <is>
          <t>Total
(20)</t>
        </is>
      </c>
      <c r="O4" s="4" t="inlineStr">
        <is>
          <t>Bonus
(+2)</t>
        </is>
      </c>
      <c r="P4" s="4" t="inlineStr">
        <is>
          <t>Final</t>
        </is>
      </c>
      <c r="Q4" s="4" t="inlineStr">
        <is>
          <t>Comment</t>
        </is>
      </c>
    </row>
    <row r="5">
      <c r="A5" s="6" t="n">
        <v>1</v>
      </c>
      <c r="B5" s="5" t="inlineStr">
        <is>
          <t>22-47624-2</t>
        </is>
      </c>
      <c r="C5" s="5" t="inlineStr">
        <is>
          <t>MAISHA JANNAT MONZUR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13">
        <f>IF(COUNT(F5:M5)=0,"",SUM(F5:M5))</f>
        <v/>
      </c>
      <c r="O5" s="5" t="n"/>
      <c r="P5" s="13">
        <f>IF(N5="","",MIN(20,N5+N(O5)))</f>
        <v/>
      </c>
      <c r="Q5" s="5" t="n"/>
    </row>
    <row r="6">
      <c r="A6" s="6" t="n">
        <v>2</v>
      </c>
      <c r="B6" s="5" t="inlineStr">
        <is>
          <t>22-47657-2</t>
        </is>
      </c>
      <c r="C6" s="5" t="inlineStr">
        <is>
          <t>SHAYEN AHAMED DORPON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13">
        <f>IF(COUNT(F6:M6)=0,"",SUM(F6:M6))</f>
        <v/>
      </c>
      <c r="O6" s="5" t="n"/>
      <c r="P6" s="13">
        <f>IF(N6="","",MIN(20,N6+N(O6)))</f>
        <v/>
      </c>
      <c r="Q6" s="5" t="n"/>
    </row>
    <row r="7">
      <c r="A7" s="6" t="n">
        <v>3</v>
      </c>
      <c r="B7" s="5" t="inlineStr">
        <is>
          <t>22-48044-2</t>
        </is>
      </c>
      <c r="C7" s="5" t="inlineStr">
        <is>
          <t>SHOWMIK AHMED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13">
        <f>IF(COUNT(F7:M7)=0,"",SUM(F7:M7))</f>
        <v/>
      </c>
      <c r="O7" s="5" t="n"/>
      <c r="P7" s="13">
        <f>IF(N7="","",MIN(20,N7+N(O7)))</f>
        <v/>
      </c>
      <c r="Q7" s="5" t="n"/>
    </row>
    <row r="8">
      <c r="A8" s="6" t="n">
        <v>4</v>
      </c>
      <c r="B8" s="5" t="inlineStr">
        <is>
          <t>22-48737-3</t>
        </is>
      </c>
      <c r="C8" s="5" t="inlineStr">
        <is>
          <t>ANONNA AFROZ BITHY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13">
        <f>IF(COUNT(F8:M8)=0,"",SUM(F8:M8))</f>
        <v/>
      </c>
      <c r="O8" s="5" t="n"/>
      <c r="P8" s="13">
        <f>IF(N8="","",MIN(20,N8+N(O8)))</f>
        <v/>
      </c>
      <c r="Q8" s="5" t="n"/>
    </row>
    <row r="9">
      <c r="A9" s="6" t="n">
        <v>5</v>
      </c>
      <c r="B9" s="5" t="inlineStr">
        <is>
          <t>23-51011-1</t>
        </is>
      </c>
      <c r="C9" s="5" t="inlineStr">
        <is>
          <t>MD SHAHALOM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13">
        <f>IF(COUNT(F9:M9)=0,"",SUM(F9:M9))</f>
        <v/>
      </c>
      <c r="O9" s="5" t="n"/>
      <c r="P9" s="13">
        <f>IF(N9="","",MIN(20,N9+N(O9)))</f>
        <v/>
      </c>
      <c r="Q9" s="5" t="n"/>
    </row>
    <row r="10">
      <c r="A10" s="6" t="n">
        <v>6</v>
      </c>
      <c r="B10" s="5" t="inlineStr">
        <is>
          <t>23-51019-1</t>
        </is>
      </c>
      <c r="C10" s="5" t="inlineStr">
        <is>
          <t>JANNATUL MAOWA HOSSAIN MEEM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13">
        <f>IF(COUNT(F10:M10)=0,"",SUM(F10:M10))</f>
        <v/>
      </c>
      <c r="O10" s="5" t="n"/>
      <c r="P10" s="13">
        <f>IF(N10="","",MIN(20,N10+N(O10)))</f>
        <v/>
      </c>
      <c r="Q10" s="5" t="n"/>
    </row>
    <row r="11">
      <c r="A11" s="6" t="n">
        <v>7</v>
      </c>
      <c r="B11" s="5" t="inlineStr">
        <is>
          <t>23-51088-1</t>
        </is>
      </c>
      <c r="C11" s="5" t="inlineStr">
        <is>
          <t>ISMITA MANNAN MIM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13">
        <f>IF(COUNT(F11:M11)=0,"",SUM(F11:M11))</f>
        <v/>
      </c>
      <c r="O11" s="5" t="n"/>
      <c r="P11" s="13">
        <f>IF(N11="","",MIN(20,N11+N(O11)))</f>
        <v/>
      </c>
      <c r="Q11" s="5" t="n"/>
    </row>
    <row r="12">
      <c r="A12" s="6" t="n">
        <v>8</v>
      </c>
      <c r="B12" s="5" t="inlineStr">
        <is>
          <t>23-51158-1</t>
        </is>
      </c>
      <c r="C12" s="5" t="inlineStr">
        <is>
          <t>REDWANUL ALAM SEAM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13">
        <f>IF(COUNT(F12:M12)=0,"",SUM(F12:M12))</f>
        <v/>
      </c>
      <c r="O12" s="5" t="n"/>
      <c r="P12" s="13">
        <f>IF(N12="","",MIN(20,N12+N(O12)))</f>
        <v/>
      </c>
      <c r="Q12" s="5" t="n"/>
    </row>
    <row r="13">
      <c r="A13" s="6" t="n">
        <v>9</v>
      </c>
      <c r="B13" s="5" t="inlineStr">
        <is>
          <t>23-51505-1</t>
        </is>
      </c>
      <c r="C13" s="5" t="inlineStr">
        <is>
          <t>ASHANUR JAMAN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13">
        <f>IF(COUNT(F13:M13)=0,"",SUM(F13:M13))</f>
        <v/>
      </c>
      <c r="O13" s="5" t="n"/>
      <c r="P13" s="13">
        <f>IF(N13="","",MIN(20,N13+N(O13)))</f>
        <v/>
      </c>
      <c r="Q13" s="5" t="n"/>
    </row>
    <row r="14">
      <c r="A14" s="6" t="n">
        <v>10</v>
      </c>
      <c r="B14" s="5" t="inlineStr">
        <is>
          <t>23-51623-2</t>
        </is>
      </c>
      <c r="C14" s="5" t="inlineStr">
        <is>
          <t>RASIL MD RAFI KHAN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13">
        <f>IF(COUNT(F14:M14)=0,"",SUM(F14:M14))</f>
        <v/>
      </c>
      <c r="O14" s="5" t="n"/>
      <c r="P14" s="13">
        <f>IF(N14="","",MIN(20,N14+N(O14)))</f>
        <v/>
      </c>
      <c r="Q14" s="5" t="n"/>
    </row>
    <row r="15">
      <c r="A15" s="6" t="n">
        <v>11</v>
      </c>
      <c r="B15" s="5" t="inlineStr">
        <is>
          <t>23-52019-2</t>
        </is>
      </c>
      <c r="C15" s="5" t="inlineStr">
        <is>
          <t>AVESHEAK DAM CHOWDHURY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13">
        <f>IF(COUNT(F15:M15)=0,"",SUM(F15:M15))</f>
        <v/>
      </c>
      <c r="O15" s="5" t="n"/>
      <c r="P15" s="13">
        <f>IF(N15="","",MIN(20,N15+N(O15)))</f>
        <v/>
      </c>
      <c r="Q15" s="5" t="n"/>
    </row>
    <row r="16">
      <c r="A16" s="6" t="n">
        <v>12</v>
      </c>
      <c r="B16" s="5" t="inlineStr">
        <is>
          <t>23-52570-2</t>
        </is>
      </c>
      <c r="C16" s="5" t="inlineStr">
        <is>
          <t>SALMAN JUBAIR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13">
        <f>IF(COUNT(F16:M16)=0,"",SUM(F16:M16))</f>
        <v/>
      </c>
      <c r="O16" s="5" t="n"/>
      <c r="P16" s="13">
        <f>IF(N16="","",MIN(20,N16+N(O16)))</f>
        <v/>
      </c>
      <c r="Q16" s="5" t="n"/>
    </row>
    <row r="17">
      <c r="A17" s="6" t="n">
        <v>13</v>
      </c>
      <c r="B17" s="5" t="inlineStr">
        <is>
          <t>23-53961-3</t>
        </is>
      </c>
      <c r="C17" s="5" t="inlineStr">
        <is>
          <t>AFRIN JANNATH INNI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13">
        <f>IF(COUNT(F17:M17)=0,"",SUM(F17:M17))</f>
        <v/>
      </c>
      <c r="O17" s="5" t="n"/>
      <c r="P17" s="13">
        <f>IF(N17="","",MIN(20,N17+N(O17)))</f>
        <v/>
      </c>
      <c r="Q17" s="5" t="n"/>
    </row>
    <row r="18">
      <c r="A18" s="6" t="n">
        <v>14</v>
      </c>
      <c r="B18" s="5" t="inlineStr">
        <is>
          <t>23-54136-3</t>
        </is>
      </c>
      <c r="C18" s="5" t="inlineStr">
        <is>
          <t>JAYDUR RAHAMAN SHAON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13">
        <f>IF(COUNT(F18:M18)=0,"",SUM(F18:M18))</f>
        <v/>
      </c>
      <c r="O18" s="5" t="n"/>
      <c r="P18" s="13">
        <f>IF(N18="","",MIN(20,N18+N(O18)))</f>
        <v/>
      </c>
      <c r="Q18" s="5" t="n"/>
    </row>
    <row r="19">
      <c r="A19" s="6" t="n">
        <v>15</v>
      </c>
      <c r="B19" s="5" t="inlineStr">
        <is>
          <t>23-54235-3</t>
        </is>
      </c>
      <c r="C19" s="5" t="inlineStr">
        <is>
          <t>MD. HUMAIUN KABIR PRANTO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13">
        <f>IF(COUNT(F19:M19)=0,"",SUM(F19:M19))</f>
        <v/>
      </c>
      <c r="O19" s="5" t="n"/>
      <c r="P19" s="13">
        <f>IF(N19="","",MIN(20,N19+N(O19)))</f>
        <v/>
      </c>
      <c r="Q19" s="5" t="n"/>
    </row>
    <row r="20">
      <c r="A20" s="6" t="n">
        <v>16</v>
      </c>
      <c r="B20" s="5" t="inlineStr">
        <is>
          <t>23-54593-3</t>
        </is>
      </c>
      <c r="C20" s="5" t="inlineStr">
        <is>
          <t>SIAM SHAHRIAR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13">
        <f>IF(COUNT(F20:M20)=0,"",SUM(F20:M20))</f>
        <v/>
      </c>
      <c r="O20" s="5" t="n"/>
      <c r="P20" s="13">
        <f>IF(N20="","",MIN(20,N20+N(O20)))</f>
        <v/>
      </c>
      <c r="Q20" s="5" t="n"/>
    </row>
    <row r="21">
      <c r="A21" s="6" t="n">
        <v>17</v>
      </c>
      <c r="B21" s="5" t="inlineStr">
        <is>
          <t>23-54654-3</t>
        </is>
      </c>
      <c r="C21" s="5" t="inlineStr">
        <is>
          <t>MD. FAHIMUZZAMAN FAHIM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13">
        <f>IF(COUNT(F21:M21)=0,"",SUM(F21:M21))</f>
        <v/>
      </c>
      <c r="O21" s="5" t="n"/>
      <c r="P21" s="13">
        <f>IF(N21="","",MIN(20,N21+N(O21)))</f>
        <v/>
      </c>
      <c r="Q21" s="5" t="n"/>
    </row>
    <row r="22">
      <c r="A22" s="6" t="n">
        <v>18</v>
      </c>
      <c r="B22" s="5" t="inlineStr">
        <is>
          <t>23-55300-3</t>
        </is>
      </c>
      <c r="C22" s="5" t="inlineStr">
        <is>
          <t>MUHAMMAD RIDWANUR RAHMAN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13">
        <f>IF(COUNT(F22:M22)=0,"",SUM(F22:M22))</f>
        <v/>
      </c>
      <c r="O22" s="5" t="n"/>
      <c r="P22" s="13">
        <f>IF(N22="","",MIN(20,N22+N(O22)))</f>
        <v/>
      </c>
      <c r="Q22" s="5" t="n"/>
    </row>
    <row r="23">
      <c r="A23" s="6" t="n">
        <v>19</v>
      </c>
      <c r="B23" s="5" t="inlineStr">
        <is>
          <t>23-55320-3</t>
        </is>
      </c>
      <c r="C23" s="5" t="inlineStr">
        <is>
          <t>FATIHA MUHAMMAD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13">
        <f>IF(COUNT(F23:M23)=0,"",SUM(F23:M23))</f>
        <v/>
      </c>
      <c r="O23" s="5" t="n"/>
      <c r="P23" s="13">
        <f>IF(N23="","",MIN(20,N23+N(O23)))</f>
        <v/>
      </c>
      <c r="Q23" s="5" t="n"/>
    </row>
    <row r="24">
      <c r="A24" s="6" t="n">
        <v>20</v>
      </c>
      <c r="B24" s="5" t="inlineStr">
        <is>
          <t>23-55468-3</t>
        </is>
      </c>
      <c r="C24" s="5" t="inlineStr">
        <is>
          <t>ESRAT JAHAN AKHI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13">
        <f>IF(COUNT(F24:M24)=0,"",SUM(F24:M24))</f>
        <v/>
      </c>
      <c r="O24" s="5" t="n"/>
      <c r="P24" s="13">
        <f>IF(N24="","",MIN(20,N24+N(O24)))</f>
        <v/>
      </c>
      <c r="Q24" s="5" t="n"/>
    </row>
    <row r="25">
      <c r="A25" s="6" t="n">
        <v>21</v>
      </c>
      <c r="B25" s="5" t="inlineStr">
        <is>
          <t>23-55642-3</t>
        </is>
      </c>
      <c r="C25" s="5" t="inlineStr">
        <is>
          <t>ISHRAK AHMED SARKER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13">
        <f>IF(COUNT(F25:M25)=0,"",SUM(F25:M25))</f>
        <v/>
      </c>
      <c r="O25" s="5" t="n"/>
      <c r="P25" s="13">
        <f>IF(N25="","",MIN(20,N25+N(O25)))</f>
        <v/>
      </c>
      <c r="Q25" s="5" t="n"/>
    </row>
    <row r="26">
      <c r="A26" s="6" t="n">
        <v>22</v>
      </c>
      <c r="B26" s="5" t="inlineStr">
        <is>
          <t>24-56038-1</t>
        </is>
      </c>
      <c r="C26" s="5" t="inlineStr">
        <is>
          <t>NAWRIN PARVIN ADITA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13">
        <f>IF(COUNT(F26:M26)=0,"",SUM(F26:M26))</f>
        <v/>
      </c>
      <c r="O26" s="5" t="n"/>
      <c r="P26" s="13">
        <f>IF(N26="","",MIN(20,N26+N(O26)))</f>
        <v/>
      </c>
      <c r="Q26" s="5" t="n"/>
    </row>
    <row r="27">
      <c r="A27" s="6" t="n">
        <v>23</v>
      </c>
      <c r="B27" s="5" t="inlineStr">
        <is>
          <t>24-56043-1</t>
        </is>
      </c>
      <c r="C27" s="5" t="inlineStr">
        <is>
          <t>SHADMAN KHAN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13">
        <f>IF(COUNT(F27:M27)=0,"",SUM(F27:M27))</f>
        <v/>
      </c>
      <c r="O27" s="5" t="n"/>
      <c r="P27" s="13">
        <f>IF(N27="","",MIN(20,N27+N(O27)))</f>
        <v/>
      </c>
      <c r="Q27" s="5" t="n"/>
    </row>
    <row r="28">
      <c r="A28" s="6" t="n">
        <v>24</v>
      </c>
      <c r="B28" s="5" t="inlineStr">
        <is>
          <t>24-56062-1</t>
        </is>
      </c>
      <c r="C28" s="5" t="inlineStr">
        <is>
          <t>MD. SABBIR AHMED RIFAT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13">
        <f>IF(COUNT(F28:M28)=0,"",SUM(F28:M28))</f>
        <v/>
      </c>
      <c r="O28" s="5" t="n"/>
      <c r="P28" s="13">
        <f>IF(N28="","",MIN(20,N28+N(O28)))</f>
        <v/>
      </c>
      <c r="Q28" s="5" t="n"/>
    </row>
    <row r="29">
      <c r="A29" s="6" t="n">
        <v>25</v>
      </c>
      <c r="B29" s="5" t="inlineStr">
        <is>
          <t>24-56412-1</t>
        </is>
      </c>
      <c r="C29" s="5" t="inlineStr">
        <is>
          <t>SAIF AHMED KHAN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13">
        <f>IF(COUNT(F29:M29)=0,"",SUM(F29:M29))</f>
        <v/>
      </c>
      <c r="O29" s="5" t="n"/>
      <c r="P29" s="13">
        <f>IF(N29="","",MIN(20,N29+N(O29)))</f>
        <v/>
      </c>
      <c r="Q29" s="5" t="n"/>
    </row>
    <row r="30">
      <c r="A30" s="6" t="n">
        <v>26</v>
      </c>
      <c r="B30" s="5" t="inlineStr">
        <is>
          <t>24-57368-2</t>
        </is>
      </c>
      <c r="C30" s="5" t="inlineStr">
        <is>
          <t>LASKER SIFWAT HOSSEIN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13">
        <f>IF(COUNT(F30:M30)=0,"",SUM(F30:M30))</f>
        <v/>
      </c>
      <c r="O30" s="5" t="n"/>
      <c r="P30" s="13">
        <f>IF(N30="","",MIN(20,N30+N(O30)))</f>
        <v/>
      </c>
      <c r="Q30" s="5" t="n"/>
    </row>
    <row r="31">
      <c r="A31" s="6" t="n">
        <v>27</v>
      </c>
      <c r="B31" s="5" t="inlineStr">
        <is>
          <t>24-57480-2</t>
        </is>
      </c>
      <c r="C31" s="5" t="inlineStr">
        <is>
          <t>SAJRIL FAKIR YEAN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13">
        <f>IF(COUNT(F31:M31)=0,"",SUM(F31:M31))</f>
        <v/>
      </c>
      <c r="O31" s="5" t="n"/>
      <c r="P31" s="13">
        <f>IF(N31="","",MIN(20,N31+N(O31)))</f>
        <v/>
      </c>
      <c r="Q31" s="5" t="n"/>
    </row>
    <row r="32">
      <c r="A32" s="6" t="n">
        <v>28</v>
      </c>
      <c r="B32" s="5" t="inlineStr">
        <is>
          <t>24-57663-2</t>
        </is>
      </c>
      <c r="C32" s="5" t="inlineStr">
        <is>
          <t>MD. SHARIAR RAHMAN SHANTO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13">
        <f>IF(COUNT(F32:M32)=0,"",SUM(F32:M32))</f>
        <v/>
      </c>
      <c r="O32" s="5" t="n"/>
      <c r="P32" s="13">
        <f>IF(N32="","",MIN(20,N32+N(O32)))</f>
        <v/>
      </c>
      <c r="Q32" s="5" t="n"/>
    </row>
    <row r="33">
      <c r="A33" s="6" t="n">
        <v>29</v>
      </c>
      <c r="B33" s="5" t="inlineStr">
        <is>
          <t>24-58009-2</t>
        </is>
      </c>
      <c r="C33" s="5" t="inlineStr">
        <is>
          <t>MOHAMMOD ASHRAFUL ISLAM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13">
        <f>IF(COUNT(F33:M33)=0,"",SUM(F33:M33))</f>
        <v/>
      </c>
      <c r="O33" s="5" t="n"/>
      <c r="P33" s="13">
        <f>IF(N33="","",MIN(20,N33+N(O33)))</f>
        <v/>
      </c>
      <c r="Q33" s="5" t="n"/>
    </row>
    <row r="34">
      <c r="A34" s="6" t="n">
        <v>30</v>
      </c>
      <c r="B34" s="5" t="inlineStr">
        <is>
          <t>24-58032-2</t>
        </is>
      </c>
      <c r="C34" s="5" t="inlineStr">
        <is>
          <t>NAFIM ISLAM NABID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13">
        <f>IF(COUNT(F34:M34)=0,"",SUM(F34:M34))</f>
        <v/>
      </c>
      <c r="O34" s="5" t="n"/>
      <c r="P34" s="13">
        <f>IF(N34="","",MIN(20,N34+N(O34)))</f>
        <v/>
      </c>
      <c r="Q34" s="5" t="n"/>
    </row>
    <row r="35">
      <c r="A35" s="6" t="n">
        <v>31</v>
      </c>
      <c r="B35" s="5" t="inlineStr">
        <is>
          <t>24-58271-2</t>
        </is>
      </c>
      <c r="C35" s="5" t="inlineStr">
        <is>
          <t>SHAKKHOR ROY PROTTOY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13">
        <f>IF(COUNT(F35:M35)=0,"",SUM(F35:M35))</f>
        <v/>
      </c>
      <c r="O35" s="5" t="n"/>
      <c r="P35" s="13">
        <f>IF(N35="","",MIN(20,N35+N(O35)))</f>
        <v/>
      </c>
      <c r="Q35" s="5" t="n"/>
    </row>
    <row r="36">
      <c r="A36" s="6" t="n">
        <v>32</v>
      </c>
      <c r="B36" s="5" t="inlineStr">
        <is>
          <t>24-58290-2</t>
        </is>
      </c>
      <c r="C36" s="5" t="inlineStr">
        <is>
          <t>SADIA ARIFIN SHIMU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13">
        <f>IF(COUNT(F36:M36)=0,"",SUM(F36:M36))</f>
        <v/>
      </c>
      <c r="O36" s="5" t="n"/>
      <c r="P36" s="13">
        <f>IF(N36="","",MIN(20,N36+N(O36)))</f>
        <v/>
      </c>
      <c r="Q36" s="5" t="n"/>
    </row>
    <row r="37">
      <c r="A37" s="6" t="n">
        <v>33</v>
      </c>
      <c r="B37" s="5" t="inlineStr">
        <is>
          <t>24-58484-2</t>
        </is>
      </c>
      <c r="C37" s="5" t="inlineStr">
        <is>
          <t>KAZI FAHMID</t>
        </is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13">
        <f>IF(COUNT(F37:M37)=0,"",SUM(F37:M37))</f>
        <v/>
      </c>
      <c r="O37" s="5" t="n"/>
      <c r="P37" s="13">
        <f>IF(N37="","",MIN(20,N37+N(O37)))</f>
        <v/>
      </c>
      <c r="Q37" s="5" t="n"/>
    </row>
    <row r="38">
      <c r="A38" s="6" t="n">
        <v>34</v>
      </c>
      <c r="B38" s="5" t="inlineStr">
        <is>
          <t>24-58585-2</t>
        </is>
      </c>
      <c r="C38" s="5" t="inlineStr">
        <is>
          <t>MD.ABID HOSSAIN BEVOR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13">
        <f>IF(COUNT(F38:M38)=0,"",SUM(F38:M38))</f>
        <v/>
      </c>
      <c r="O38" s="5" t="n"/>
      <c r="P38" s="13">
        <f>IF(N38="","",MIN(20,N38+N(O38)))</f>
        <v/>
      </c>
      <c r="Q38" s="5" t="n"/>
    </row>
    <row r="39">
      <c r="A39" s="6" t="n">
        <v>35</v>
      </c>
      <c r="B39" s="5" t="inlineStr">
        <is>
          <t>24-58743-2</t>
        </is>
      </c>
      <c r="C39" s="5" t="inlineStr">
        <is>
          <t>JANNATUL MAWA RODELA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13">
        <f>IF(COUNT(F39:M39)=0,"",SUM(F39:M39))</f>
        <v/>
      </c>
      <c r="O39" s="5" t="n"/>
      <c r="P39" s="13">
        <f>IF(N39="","",MIN(20,N39+N(O39)))</f>
        <v/>
      </c>
      <c r="Q39" s="5" t="n"/>
    </row>
    <row r="40">
      <c r="A40" s="6" t="n">
        <v>36</v>
      </c>
      <c r="B40" s="5" t="inlineStr">
        <is>
          <t>24-59371-3</t>
        </is>
      </c>
      <c r="C40" s="5" t="inlineStr">
        <is>
          <t>ESRAT JAHAN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13">
        <f>IF(COUNT(F40:M40)=0,"",SUM(F40:M40))</f>
        <v/>
      </c>
      <c r="O40" s="5" t="n"/>
      <c r="P40" s="13">
        <f>IF(N40="","",MIN(20,N40+N(O40)))</f>
        <v/>
      </c>
      <c r="Q40" s="5" t="n"/>
    </row>
    <row r="41">
      <c r="A41" s="6" t="n">
        <v>37</v>
      </c>
      <c r="B41" s="5" t="inlineStr">
        <is>
          <t>25-60745-1</t>
        </is>
      </c>
      <c r="C41" s="5" t="inlineStr">
        <is>
          <t>FAHIM SHAHRIAR SHOMIK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13">
        <f>IF(COUNT(F41:M41)=0,"",SUM(F41:M41))</f>
        <v/>
      </c>
      <c r="O41" s="5" t="n"/>
      <c r="P41" s="13">
        <f>IF(N41="","",MIN(20,N41+N(O41)))</f>
        <v/>
      </c>
      <c r="Q41" s="5" t="n"/>
    </row>
    <row r="42">
      <c r="A42" s="6" t="n">
        <v>38</v>
      </c>
      <c r="B42" s="5" t="inlineStr">
        <is>
          <t>25-62082-2</t>
        </is>
      </c>
      <c r="C42" s="5" t="inlineStr">
        <is>
          <t>SAHIL SUBAIR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13">
        <f>IF(COUNT(F42:M42)=0,"",SUM(F42:M42))</f>
        <v/>
      </c>
      <c r="O42" s="5" t="n"/>
      <c r="P42" s="13">
        <f>IF(N42="","",MIN(20,N42+N(O42)))</f>
        <v/>
      </c>
      <c r="Q42" s="5" t="n"/>
    </row>
  </sheetData>
  <mergeCells count="1"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42" customWidth="1" min="4" max="4"/>
    <col width="4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12" t="inlineStr">
        <is>
          <t>Lab 1 Resubmission — Section D (33 students)</t>
        </is>
      </c>
    </row>
    <row r="2">
      <c r="A2" s="3" t="inlineStr">
        <is>
          <t>Paste the GitHub link and video link, then mark C1–C8. Total is automatic. Bonus column is separate.</t>
        </is>
      </c>
    </row>
    <row r="4" ht="44" customHeight="1">
      <c r="A4" s="4" t="inlineStr">
        <is>
          <t>SL</t>
        </is>
      </c>
      <c r="B4" s="4" t="inlineStr">
        <is>
          <t>Student ID</t>
        </is>
      </c>
      <c r="C4" s="4" t="inlineStr">
        <is>
          <t>Name</t>
        </is>
      </c>
      <c r="D4" s="4" t="inlineStr">
        <is>
          <t>GitHub link</t>
        </is>
      </c>
      <c r="E4" s="4" t="inlineStr">
        <is>
          <t>Video link</t>
        </is>
      </c>
      <c r="F4" s="4" t="inlineStr">
        <is>
          <t>C1 (2)</t>
        </is>
      </c>
      <c r="G4" s="4" t="inlineStr">
        <is>
          <t>C2 (3)</t>
        </is>
      </c>
      <c r="H4" s="4" t="inlineStr">
        <is>
          <t>C3 (3)</t>
        </is>
      </c>
      <c r="I4" s="4" t="inlineStr">
        <is>
          <t>C4 (3)</t>
        </is>
      </c>
      <c r="J4" s="4" t="inlineStr">
        <is>
          <t>C5 (3)</t>
        </is>
      </c>
      <c r="K4" s="4" t="inlineStr">
        <is>
          <t>C6 (2)</t>
        </is>
      </c>
      <c r="L4" s="4" t="inlineStr">
        <is>
          <t>C7 (3)</t>
        </is>
      </c>
      <c r="M4" s="4" t="inlineStr">
        <is>
          <t>C8 (1)</t>
        </is>
      </c>
      <c r="N4" s="4" t="inlineStr">
        <is>
          <t>Total
(20)</t>
        </is>
      </c>
      <c r="O4" s="4" t="inlineStr">
        <is>
          <t>Bonus
(+2)</t>
        </is>
      </c>
      <c r="P4" s="4" t="inlineStr">
        <is>
          <t>Final</t>
        </is>
      </c>
      <c r="Q4" s="4" t="inlineStr">
        <is>
          <t>Comment</t>
        </is>
      </c>
    </row>
    <row r="5">
      <c r="A5" s="6" t="n">
        <v>1</v>
      </c>
      <c r="B5" s="5" t="inlineStr">
        <is>
          <t>23-50132-1</t>
        </is>
      </c>
      <c r="C5" s="5" t="inlineStr">
        <is>
          <t>MD.AMIMUL AHSAN POLOK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13">
        <f>IF(COUNT(F5:M5)=0,"",SUM(F5:M5))</f>
        <v/>
      </c>
      <c r="O5" s="5" t="n"/>
      <c r="P5" s="13">
        <f>IF(N5="","",MIN(20,N5+N(O5)))</f>
        <v/>
      </c>
      <c r="Q5" s="5" t="n"/>
    </row>
    <row r="6">
      <c r="A6" s="6" t="n">
        <v>2</v>
      </c>
      <c r="B6" s="5" t="inlineStr">
        <is>
          <t>23-50423-1</t>
        </is>
      </c>
      <c r="C6" s="5" t="inlineStr">
        <is>
          <t>SABBIR HASAN TANIM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13">
        <f>IF(COUNT(F6:M6)=0,"",SUM(F6:M6))</f>
        <v/>
      </c>
      <c r="O6" s="5" t="n"/>
      <c r="P6" s="13">
        <f>IF(N6="","",MIN(20,N6+N(O6)))</f>
        <v/>
      </c>
      <c r="Q6" s="5" t="n"/>
    </row>
    <row r="7">
      <c r="A7" s="6" t="n">
        <v>3</v>
      </c>
      <c r="B7" s="5" t="inlineStr">
        <is>
          <t>23-50617-1</t>
        </is>
      </c>
      <c r="C7" s="5" t="inlineStr">
        <is>
          <t>MD.HABIBULLAH TUHIN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13">
        <f>IF(COUNT(F7:M7)=0,"",SUM(F7:M7))</f>
        <v/>
      </c>
      <c r="O7" s="5" t="n"/>
      <c r="P7" s="13">
        <f>IF(N7="","",MIN(20,N7+N(O7)))</f>
        <v/>
      </c>
      <c r="Q7" s="5" t="n"/>
    </row>
    <row r="8">
      <c r="A8" s="6" t="n">
        <v>4</v>
      </c>
      <c r="B8" s="5" t="inlineStr">
        <is>
          <t>23-50732-1</t>
        </is>
      </c>
      <c r="C8" s="5" t="inlineStr">
        <is>
          <t>AMIT MANDAL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13">
        <f>IF(COUNT(F8:M8)=0,"",SUM(F8:M8))</f>
        <v/>
      </c>
      <c r="O8" s="5" t="n"/>
      <c r="P8" s="13">
        <f>IF(N8="","",MIN(20,N8+N(O8)))</f>
        <v/>
      </c>
      <c r="Q8" s="5" t="n"/>
    </row>
    <row r="9">
      <c r="A9" s="6" t="n">
        <v>5</v>
      </c>
      <c r="B9" s="5" t="inlineStr">
        <is>
          <t>23-51173-1</t>
        </is>
      </c>
      <c r="C9" s="5" t="inlineStr">
        <is>
          <t>SIAM FARAJEE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13">
        <f>IF(COUNT(F9:M9)=0,"",SUM(F9:M9))</f>
        <v/>
      </c>
      <c r="O9" s="5" t="n"/>
      <c r="P9" s="13">
        <f>IF(N9="","",MIN(20,N9+N(O9)))</f>
        <v/>
      </c>
      <c r="Q9" s="5" t="n"/>
    </row>
    <row r="10">
      <c r="A10" s="6" t="n">
        <v>6</v>
      </c>
      <c r="B10" s="5" t="inlineStr">
        <is>
          <t>23-51474-1</t>
        </is>
      </c>
      <c r="C10" s="5" t="inlineStr">
        <is>
          <t>MEHJABIN FAIZA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13">
        <f>IF(COUNT(F10:M10)=0,"",SUM(F10:M10))</f>
        <v/>
      </c>
      <c r="O10" s="5" t="n"/>
      <c r="P10" s="13">
        <f>IF(N10="","",MIN(20,N10+N(O10)))</f>
        <v/>
      </c>
      <c r="Q10" s="5" t="n"/>
    </row>
    <row r="11">
      <c r="A11" s="6" t="n">
        <v>7</v>
      </c>
      <c r="B11" s="5" t="inlineStr">
        <is>
          <t>23-51475-1</t>
        </is>
      </c>
      <c r="C11" s="5" t="inlineStr">
        <is>
          <t>MUBASHSHIRA JANNAT MIMI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13">
        <f>IF(COUNT(F11:M11)=0,"",SUM(F11:M11))</f>
        <v/>
      </c>
      <c r="O11" s="5" t="n"/>
      <c r="P11" s="13">
        <f>IF(N11="","",MIN(20,N11+N(O11)))</f>
        <v/>
      </c>
      <c r="Q11" s="5" t="n"/>
    </row>
    <row r="12">
      <c r="A12" s="6" t="n">
        <v>8</v>
      </c>
      <c r="B12" s="5" t="inlineStr">
        <is>
          <t>23-51855-2</t>
        </is>
      </c>
      <c r="C12" s="5" t="inlineStr">
        <is>
          <t>MD. JUBAIR HASAN TAMIM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13">
        <f>IF(COUNT(F12:M12)=0,"",SUM(F12:M12))</f>
        <v/>
      </c>
      <c r="O12" s="5" t="n"/>
      <c r="P12" s="13">
        <f>IF(N12="","",MIN(20,N12+N(O12)))</f>
        <v/>
      </c>
      <c r="Q12" s="5" t="n"/>
    </row>
    <row r="13">
      <c r="A13" s="6" t="n">
        <v>9</v>
      </c>
      <c r="B13" s="5" t="inlineStr">
        <is>
          <t>23-51988-2</t>
        </is>
      </c>
      <c r="C13" s="5" t="inlineStr">
        <is>
          <t>SADIA ISLAM SHORNA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13">
        <f>IF(COUNT(F13:M13)=0,"",SUM(F13:M13))</f>
        <v/>
      </c>
      <c r="O13" s="5" t="n"/>
      <c r="P13" s="13">
        <f>IF(N13="","",MIN(20,N13+N(O13)))</f>
        <v/>
      </c>
      <c r="Q13" s="5" t="n"/>
    </row>
    <row r="14">
      <c r="A14" s="6" t="n">
        <v>10</v>
      </c>
      <c r="B14" s="5" t="inlineStr">
        <is>
          <t>23-52116-2</t>
        </is>
      </c>
      <c r="C14" s="5" t="inlineStr">
        <is>
          <t>MD. JULPIKER AHMAD RAFI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13">
        <f>IF(COUNT(F14:M14)=0,"",SUM(F14:M14))</f>
        <v/>
      </c>
      <c r="O14" s="5" t="n"/>
      <c r="P14" s="13">
        <f>IF(N14="","",MIN(20,N14+N(O14)))</f>
        <v/>
      </c>
      <c r="Q14" s="5" t="n"/>
    </row>
    <row r="15">
      <c r="A15" s="6" t="n">
        <v>11</v>
      </c>
      <c r="B15" s="5" t="inlineStr">
        <is>
          <t>23-52219-2</t>
        </is>
      </c>
      <c r="C15" s="5" t="inlineStr">
        <is>
          <t>KHADIZA RAHMAN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13">
        <f>IF(COUNT(F15:M15)=0,"",SUM(F15:M15))</f>
        <v/>
      </c>
      <c r="O15" s="5" t="n"/>
      <c r="P15" s="13">
        <f>IF(N15="","",MIN(20,N15+N(O15)))</f>
        <v/>
      </c>
      <c r="Q15" s="5" t="n"/>
    </row>
    <row r="16">
      <c r="A16" s="6" t="n">
        <v>12</v>
      </c>
      <c r="B16" s="5" t="inlineStr">
        <is>
          <t>24-56321-1</t>
        </is>
      </c>
      <c r="C16" s="5" t="inlineStr">
        <is>
          <t>ASFI SABRIN NEHA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13">
        <f>IF(COUNT(F16:M16)=0,"",SUM(F16:M16))</f>
        <v/>
      </c>
      <c r="O16" s="5" t="n"/>
      <c r="P16" s="13">
        <f>IF(N16="","",MIN(20,N16+N(O16)))</f>
        <v/>
      </c>
      <c r="Q16" s="5" t="n"/>
    </row>
    <row r="17">
      <c r="A17" s="6" t="n">
        <v>13</v>
      </c>
      <c r="B17" s="5" t="inlineStr">
        <is>
          <t>24-56819-1</t>
        </is>
      </c>
      <c r="C17" s="5" t="inlineStr">
        <is>
          <t>REDWAN AHMED CHOWDHURY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13">
        <f>IF(COUNT(F17:M17)=0,"",SUM(F17:M17))</f>
        <v/>
      </c>
      <c r="O17" s="5" t="n"/>
      <c r="P17" s="13">
        <f>IF(N17="","",MIN(20,N17+N(O17)))</f>
        <v/>
      </c>
      <c r="Q17" s="5" t="n"/>
    </row>
    <row r="18">
      <c r="A18" s="6" t="n">
        <v>14</v>
      </c>
      <c r="B18" s="5" t="inlineStr">
        <is>
          <t>24-57054-1</t>
        </is>
      </c>
      <c r="C18" s="5" t="inlineStr">
        <is>
          <t>LUTFUR RAHMAN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13">
        <f>IF(COUNT(F18:M18)=0,"",SUM(F18:M18))</f>
        <v/>
      </c>
      <c r="O18" s="5" t="n"/>
      <c r="P18" s="13">
        <f>IF(N18="","",MIN(20,N18+N(O18)))</f>
        <v/>
      </c>
      <c r="Q18" s="5" t="n"/>
    </row>
    <row r="19">
      <c r="A19" s="6" t="n">
        <v>15</v>
      </c>
      <c r="B19" s="5" t="inlineStr">
        <is>
          <t>24-57116-1</t>
        </is>
      </c>
      <c r="C19" s="5" t="inlineStr">
        <is>
          <t>FARIA NOWSHIN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13">
        <f>IF(COUNT(F19:M19)=0,"",SUM(F19:M19))</f>
        <v/>
      </c>
      <c r="O19" s="5" t="n"/>
      <c r="P19" s="13">
        <f>IF(N19="","",MIN(20,N19+N(O19)))</f>
        <v/>
      </c>
      <c r="Q19" s="5" t="n"/>
    </row>
    <row r="20">
      <c r="A20" s="6" t="n">
        <v>16</v>
      </c>
      <c r="B20" s="5" t="inlineStr">
        <is>
          <t>24-57543-2</t>
        </is>
      </c>
      <c r="C20" s="5" t="inlineStr">
        <is>
          <t>MAHFUZ AHAMMED RIZVI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13">
        <f>IF(COUNT(F20:M20)=0,"",SUM(F20:M20))</f>
        <v/>
      </c>
      <c r="O20" s="5" t="n"/>
      <c r="P20" s="13">
        <f>IF(N20="","",MIN(20,N20+N(O20)))</f>
        <v/>
      </c>
      <c r="Q20" s="5" t="n"/>
    </row>
    <row r="21">
      <c r="A21" s="6" t="n">
        <v>17</v>
      </c>
      <c r="B21" s="5" t="inlineStr">
        <is>
          <t>24-57567-2</t>
        </is>
      </c>
      <c r="C21" s="5" t="inlineStr">
        <is>
          <t>TANVIR ISLAM TUSAR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13">
        <f>IF(COUNT(F21:M21)=0,"",SUM(F21:M21))</f>
        <v/>
      </c>
      <c r="O21" s="5" t="n"/>
      <c r="P21" s="13">
        <f>IF(N21="","",MIN(20,N21+N(O21)))</f>
        <v/>
      </c>
      <c r="Q21" s="5" t="n"/>
    </row>
    <row r="22">
      <c r="A22" s="6" t="n">
        <v>18</v>
      </c>
      <c r="B22" s="5" t="inlineStr">
        <is>
          <t>24-57575-2</t>
        </is>
      </c>
      <c r="C22" s="5" t="inlineStr">
        <is>
          <t>MOHAMMAD SALMAN FAROOK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13">
        <f>IF(COUNT(F22:M22)=0,"",SUM(F22:M22))</f>
        <v/>
      </c>
      <c r="O22" s="5" t="n"/>
      <c r="P22" s="13">
        <f>IF(N22="","",MIN(20,N22+N(O22)))</f>
        <v/>
      </c>
      <c r="Q22" s="5" t="n"/>
    </row>
    <row r="23">
      <c r="A23" s="6" t="n">
        <v>19</v>
      </c>
      <c r="B23" s="5" t="inlineStr">
        <is>
          <t>24-57618-2</t>
        </is>
      </c>
      <c r="C23" s="5" t="inlineStr">
        <is>
          <t>UDIPTO KUMAR BHOWMIK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13">
        <f>IF(COUNT(F23:M23)=0,"",SUM(F23:M23))</f>
        <v/>
      </c>
      <c r="O23" s="5" t="n"/>
      <c r="P23" s="13">
        <f>IF(N23="","",MIN(20,N23+N(O23)))</f>
        <v/>
      </c>
      <c r="Q23" s="5" t="n"/>
    </row>
    <row r="24">
      <c r="A24" s="6" t="n">
        <v>20</v>
      </c>
      <c r="B24" s="5" t="inlineStr">
        <is>
          <t>24-57685-2</t>
        </is>
      </c>
      <c r="C24" s="5" t="inlineStr">
        <is>
          <t>SAMS RIDWAN SIMRAN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13">
        <f>IF(COUNT(F24:M24)=0,"",SUM(F24:M24))</f>
        <v/>
      </c>
      <c r="O24" s="5" t="n"/>
      <c r="P24" s="13">
        <f>IF(N24="","",MIN(20,N24+N(O24)))</f>
        <v/>
      </c>
      <c r="Q24" s="5" t="n"/>
    </row>
    <row r="25">
      <c r="A25" s="6" t="n">
        <v>21</v>
      </c>
      <c r="B25" s="5" t="inlineStr">
        <is>
          <t>24-57769-2</t>
        </is>
      </c>
      <c r="C25" s="5" t="inlineStr">
        <is>
          <t>SHAH MD ZUNAED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13">
        <f>IF(COUNT(F25:M25)=0,"",SUM(F25:M25))</f>
        <v/>
      </c>
      <c r="O25" s="5" t="n"/>
      <c r="P25" s="13">
        <f>IF(N25="","",MIN(20,N25+N(O25)))</f>
        <v/>
      </c>
      <c r="Q25" s="5" t="n"/>
    </row>
    <row r="26">
      <c r="A26" s="6" t="n">
        <v>22</v>
      </c>
      <c r="B26" s="5" t="inlineStr">
        <is>
          <t>24-58148-2</t>
        </is>
      </c>
      <c r="C26" s="5" t="inlineStr">
        <is>
          <t>MD. NAZMUS SAKIB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13">
        <f>IF(COUNT(F26:M26)=0,"",SUM(F26:M26))</f>
        <v/>
      </c>
      <c r="O26" s="5" t="n"/>
      <c r="P26" s="13">
        <f>IF(N26="","",MIN(20,N26+N(O26)))</f>
        <v/>
      </c>
      <c r="Q26" s="5" t="n"/>
    </row>
    <row r="27">
      <c r="A27" s="6" t="n">
        <v>23</v>
      </c>
      <c r="B27" s="5" t="inlineStr">
        <is>
          <t>24-58175-2</t>
        </is>
      </c>
      <c r="C27" s="5" t="inlineStr">
        <is>
          <t>MD JABED IQBAL NAQUIB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13">
        <f>IF(COUNT(F27:M27)=0,"",SUM(F27:M27))</f>
        <v/>
      </c>
      <c r="O27" s="5" t="n"/>
      <c r="P27" s="13">
        <f>IF(N27="","",MIN(20,N27+N(O27)))</f>
        <v/>
      </c>
      <c r="Q27" s="5" t="n"/>
    </row>
    <row r="28">
      <c r="A28" s="6" t="n">
        <v>24</v>
      </c>
      <c r="B28" s="5" t="inlineStr">
        <is>
          <t>24-58331-2</t>
        </is>
      </c>
      <c r="C28" s="5" t="inlineStr">
        <is>
          <t>MD. OSMAN BIN TARIK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13">
        <f>IF(COUNT(F28:M28)=0,"",SUM(F28:M28))</f>
        <v/>
      </c>
      <c r="O28" s="5" t="n"/>
      <c r="P28" s="13">
        <f>IF(N28="","",MIN(20,N28+N(O28)))</f>
        <v/>
      </c>
      <c r="Q28" s="5" t="n"/>
    </row>
    <row r="29">
      <c r="A29" s="6" t="n">
        <v>25</v>
      </c>
      <c r="B29" s="5" t="inlineStr">
        <is>
          <t>24-58420-2</t>
        </is>
      </c>
      <c r="C29" s="5" t="inlineStr">
        <is>
          <t>NASHIA BENTHA KAMAL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13">
        <f>IF(COUNT(F29:M29)=0,"",SUM(F29:M29))</f>
        <v/>
      </c>
      <c r="O29" s="5" t="n"/>
      <c r="P29" s="13">
        <f>IF(N29="","",MIN(20,N29+N(O29)))</f>
        <v/>
      </c>
      <c r="Q29" s="5" t="n"/>
    </row>
    <row r="30">
      <c r="A30" s="6" t="n">
        <v>26</v>
      </c>
      <c r="B30" s="5" t="inlineStr">
        <is>
          <t>24-59060-3</t>
        </is>
      </c>
      <c r="C30" s="5" t="inlineStr">
        <is>
          <t>SAMORPITA PAUL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13">
        <f>IF(COUNT(F30:M30)=0,"",SUM(F30:M30))</f>
        <v/>
      </c>
      <c r="O30" s="5" t="n"/>
      <c r="P30" s="13">
        <f>IF(N30="","",MIN(20,N30+N(O30)))</f>
        <v/>
      </c>
      <c r="Q30" s="5" t="n"/>
    </row>
    <row r="31">
      <c r="A31" s="6" t="n">
        <v>27</v>
      </c>
      <c r="B31" s="5" t="inlineStr">
        <is>
          <t>24-59063-3</t>
        </is>
      </c>
      <c r="C31" s="5" t="inlineStr">
        <is>
          <t>ANIKA SUMAIYA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13">
        <f>IF(COUNT(F31:M31)=0,"",SUM(F31:M31))</f>
        <v/>
      </c>
      <c r="O31" s="5" t="n"/>
      <c r="P31" s="13">
        <f>IF(N31="","",MIN(20,N31+N(O31)))</f>
        <v/>
      </c>
      <c r="Q31" s="5" t="n"/>
    </row>
    <row r="32">
      <c r="A32" s="6" t="n">
        <v>28</v>
      </c>
      <c r="B32" s="5" t="inlineStr">
        <is>
          <t>24-59226-3</t>
        </is>
      </c>
      <c r="C32" s="5" t="inlineStr">
        <is>
          <t>TAUSIF UL ISLAM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13">
        <f>IF(COUNT(F32:M32)=0,"",SUM(F32:M32))</f>
        <v/>
      </c>
      <c r="O32" s="5" t="n"/>
      <c r="P32" s="13">
        <f>IF(N32="","",MIN(20,N32+N(O32)))</f>
        <v/>
      </c>
      <c r="Q32" s="5" t="n"/>
    </row>
    <row r="33">
      <c r="A33" s="6" t="n">
        <v>29</v>
      </c>
      <c r="B33" s="5" t="inlineStr">
        <is>
          <t>24-59497-3</t>
        </is>
      </c>
      <c r="C33" s="5" t="inlineStr">
        <is>
          <t>MD. OMAR FARUK AUMI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13">
        <f>IF(COUNT(F33:M33)=0,"",SUM(F33:M33))</f>
        <v/>
      </c>
      <c r="O33" s="5" t="n"/>
      <c r="P33" s="13">
        <f>IF(N33="","",MIN(20,N33+N(O33)))</f>
        <v/>
      </c>
      <c r="Q33" s="5" t="n"/>
    </row>
    <row r="34">
      <c r="A34" s="6" t="n">
        <v>30</v>
      </c>
      <c r="B34" s="5" t="inlineStr">
        <is>
          <t>24-59539-3</t>
        </is>
      </c>
      <c r="C34" s="5" t="inlineStr">
        <is>
          <t>SHIHAB AHMED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13">
        <f>IF(COUNT(F34:M34)=0,"",SUM(F34:M34))</f>
        <v/>
      </c>
      <c r="O34" s="5" t="n"/>
      <c r="P34" s="13">
        <f>IF(N34="","",MIN(20,N34+N(O34)))</f>
        <v/>
      </c>
      <c r="Q34" s="5" t="n"/>
    </row>
    <row r="35">
      <c r="A35" s="6" t="n">
        <v>31</v>
      </c>
      <c r="B35" s="5" t="inlineStr">
        <is>
          <t>25-60783-1</t>
        </is>
      </c>
      <c r="C35" s="5" t="inlineStr">
        <is>
          <t>RAFSAN AZAD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13">
        <f>IF(COUNT(F35:M35)=0,"",SUM(F35:M35))</f>
        <v/>
      </c>
      <c r="O35" s="5" t="n"/>
      <c r="P35" s="13">
        <f>IF(N35="","",MIN(20,N35+N(O35)))</f>
        <v/>
      </c>
      <c r="Q35" s="5" t="n"/>
    </row>
    <row r="36">
      <c r="A36" s="6" t="n">
        <v>32</v>
      </c>
      <c r="B36" s="5" t="inlineStr">
        <is>
          <t>25-60982-1</t>
        </is>
      </c>
      <c r="C36" s="5" t="inlineStr">
        <is>
          <t>SAURAV AVIK BISWAS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13">
        <f>IF(COUNT(F36:M36)=0,"",SUM(F36:M36))</f>
        <v/>
      </c>
      <c r="O36" s="5" t="n"/>
      <c r="P36" s="13">
        <f>IF(N36="","",MIN(20,N36+N(O36)))</f>
        <v/>
      </c>
      <c r="Q36" s="5" t="n"/>
    </row>
    <row r="37">
      <c r="A37" s="6" t="n">
        <v>33</v>
      </c>
      <c r="B37" s="5" t="inlineStr">
        <is>
          <t>25-62451-2</t>
        </is>
      </c>
      <c r="C37" s="5" t="inlineStr">
        <is>
          <t>SADMAN AHMED</t>
        </is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13">
        <f>IF(COUNT(F37:M37)=0,"",SUM(F37:M37))</f>
        <v/>
      </c>
      <c r="O37" s="5" t="n"/>
      <c r="P37" s="13">
        <f>IF(N37="","",MIN(20,N37+N(O37)))</f>
        <v/>
      </c>
      <c r="Q37" s="5" t="n"/>
    </row>
  </sheetData>
  <mergeCells count="1"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42" customWidth="1" min="4" max="4"/>
    <col width="42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8" customWidth="1" min="15" max="15"/>
    <col width="8" customWidth="1" min="16" max="16"/>
    <col width="60" customWidth="1" min="17" max="17"/>
  </cols>
  <sheetData>
    <row r="1">
      <c r="A1" s="12" t="inlineStr">
        <is>
          <t>Lab 1 Resubmission — Section R (38 students)</t>
        </is>
      </c>
    </row>
    <row r="2">
      <c r="A2" s="3" t="inlineStr">
        <is>
          <t>Paste the GitHub link and video link, then mark C1–C8. Total is automatic. Bonus column is separate.</t>
        </is>
      </c>
    </row>
    <row r="4" ht="44" customHeight="1">
      <c r="A4" s="4" t="inlineStr">
        <is>
          <t>SL</t>
        </is>
      </c>
      <c r="B4" s="4" t="inlineStr">
        <is>
          <t>Student ID</t>
        </is>
      </c>
      <c r="C4" s="4" t="inlineStr">
        <is>
          <t>Name</t>
        </is>
      </c>
      <c r="D4" s="4" t="inlineStr">
        <is>
          <t>GitHub link</t>
        </is>
      </c>
      <c r="E4" s="4" t="inlineStr">
        <is>
          <t>Video link</t>
        </is>
      </c>
      <c r="F4" s="4" t="inlineStr">
        <is>
          <t>C1 (2)</t>
        </is>
      </c>
      <c r="G4" s="4" t="inlineStr">
        <is>
          <t>C2 (3)</t>
        </is>
      </c>
      <c r="H4" s="4" t="inlineStr">
        <is>
          <t>C3 (3)</t>
        </is>
      </c>
      <c r="I4" s="4" t="inlineStr">
        <is>
          <t>C4 (3)</t>
        </is>
      </c>
      <c r="J4" s="4" t="inlineStr">
        <is>
          <t>C5 (3)</t>
        </is>
      </c>
      <c r="K4" s="4" t="inlineStr">
        <is>
          <t>C6 (2)</t>
        </is>
      </c>
      <c r="L4" s="4" t="inlineStr">
        <is>
          <t>C7 (3)</t>
        </is>
      </c>
      <c r="M4" s="4" t="inlineStr">
        <is>
          <t>C8 (1)</t>
        </is>
      </c>
      <c r="N4" s="4" t="inlineStr">
        <is>
          <t>Total
(20)</t>
        </is>
      </c>
      <c r="O4" s="4" t="inlineStr">
        <is>
          <t>Bonus
(+2)</t>
        </is>
      </c>
      <c r="P4" s="4" t="inlineStr">
        <is>
          <t>Final</t>
        </is>
      </c>
      <c r="Q4" s="4" t="inlineStr">
        <is>
          <t>Comment</t>
        </is>
      </c>
    </row>
    <row r="5">
      <c r="A5" s="6" t="n">
        <v>1</v>
      </c>
      <c r="B5" s="5" t="inlineStr">
        <is>
          <t>21-44568-1</t>
        </is>
      </c>
      <c r="C5" s="5" t="inlineStr">
        <is>
          <t>ZARIF AL AFRAIM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13">
        <f>IF(COUNT(F5:M5)=0,"",SUM(F5:M5))</f>
        <v/>
      </c>
      <c r="O5" s="5" t="n"/>
      <c r="P5" s="13">
        <f>IF(N5="","",MIN(20,N5+N(O5)))</f>
        <v/>
      </c>
      <c r="Q5" s="5" t="n"/>
    </row>
    <row r="6">
      <c r="A6" s="6" t="n">
        <v>2</v>
      </c>
      <c r="B6" s="5" t="inlineStr">
        <is>
          <t>21-45717-3</t>
        </is>
      </c>
      <c r="C6" s="5" t="inlineStr">
        <is>
          <t>NAFIUL ISLAM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13">
        <f>IF(COUNT(F6:M6)=0,"",SUM(F6:M6))</f>
        <v/>
      </c>
      <c r="O6" s="5" t="n"/>
      <c r="P6" s="13">
        <f>IF(N6="","",MIN(20,N6+N(O6)))</f>
        <v/>
      </c>
      <c r="Q6" s="5" t="n"/>
    </row>
    <row r="7">
      <c r="A7" s="6" t="n">
        <v>3</v>
      </c>
      <c r="B7" s="5" t="inlineStr">
        <is>
          <t>22-46073-1</t>
        </is>
      </c>
      <c r="C7" s="5" t="inlineStr">
        <is>
          <t>AHAMED MASHRUF TASIN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13">
        <f>IF(COUNT(F7:M7)=0,"",SUM(F7:M7))</f>
        <v/>
      </c>
      <c r="O7" s="5" t="n"/>
      <c r="P7" s="13">
        <f>IF(N7="","",MIN(20,N7+N(O7)))</f>
        <v/>
      </c>
      <c r="Q7" s="5" t="n"/>
    </row>
    <row r="8">
      <c r="A8" s="6" t="n">
        <v>4</v>
      </c>
      <c r="B8" s="5" t="inlineStr">
        <is>
          <t>22-47910-2</t>
        </is>
      </c>
      <c r="C8" s="5" t="inlineStr">
        <is>
          <t>MD. ARAFAT RAHMAN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13">
        <f>IF(COUNT(F8:M8)=0,"",SUM(F8:M8))</f>
        <v/>
      </c>
      <c r="O8" s="5" t="n"/>
      <c r="P8" s="13">
        <f>IF(N8="","",MIN(20,N8+N(O8)))</f>
        <v/>
      </c>
      <c r="Q8" s="5" t="n"/>
    </row>
    <row r="9">
      <c r="A9" s="6" t="n">
        <v>5</v>
      </c>
      <c r="B9" s="5" t="inlineStr">
        <is>
          <t>22-48155-2</t>
        </is>
      </c>
      <c r="C9" s="5" t="inlineStr">
        <is>
          <t>FAZLE RABBI SHEHAN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13">
        <f>IF(COUNT(F9:M9)=0,"",SUM(F9:M9))</f>
        <v/>
      </c>
      <c r="O9" s="5" t="n"/>
      <c r="P9" s="13">
        <f>IF(N9="","",MIN(20,N9+N(O9)))</f>
        <v/>
      </c>
      <c r="Q9" s="5" t="n"/>
    </row>
    <row r="10">
      <c r="A10" s="6" t="n">
        <v>6</v>
      </c>
      <c r="B10" s="5" t="inlineStr">
        <is>
          <t>22-49449-3</t>
        </is>
      </c>
      <c r="C10" s="5" t="inlineStr">
        <is>
          <t>SHOHIDUR RAZA SUJON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13">
        <f>IF(COUNT(F10:M10)=0,"",SUM(F10:M10))</f>
        <v/>
      </c>
      <c r="O10" s="5" t="n"/>
      <c r="P10" s="13">
        <f>IF(N10="","",MIN(20,N10+N(O10)))</f>
        <v/>
      </c>
      <c r="Q10" s="5" t="n"/>
    </row>
    <row r="11">
      <c r="A11" s="6" t="n">
        <v>7</v>
      </c>
      <c r="B11" s="5" t="inlineStr">
        <is>
          <t>23-51614-2</t>
        </is>
      </c>
      <c r="C11" s="5" t="inlineStr">
        <is>
          <t>NUSRAT ZAMAN LIYA</t>
        </is>
      </c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13">
        <f>IF(COUNT(F11:M11)=0,"",SUM(F11:M11))</f>
        <v/>
      </c>
      <c r="O11" s="5" t="n"/>
      <c r="P11" s="13">
        <f>IF(N11="","",MIN(20,N11+N(O11)))</f>
        <v/>
      </c>
      <c r="Q11" s="5" t="n"/>
    </row>
    <row r="12">
      <c r="A12" s="6" t="n">
        <v>8</v>
      </c>
      <c r="B12" s="5" t="inlineStr">
        <is>
          <t>23-53789-3</t>
        </is>
      </c>
      <c r="C12" s="5" t="inlineStr">
        <is>
          <t>MUHTASIM MAHIN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13">
        <f>IF(COUNT(F12:M12)=0,"",SUM(F12:M12))</f>
        <v/>
      </c>
      <c r="O12" s="5" t="n"/>
      <c r="P12" s="13">
        <f>IF(N12="","",MIN(20,N12+N(O12)))</f>
        <v/>
      </c>
      <c r="Q12" s="5" t="n"/>
    </row>
    <row r="13">
      <c r="A13" s="6" t="n">
        <v>9</v>
      </c>
      <c r="B13" s="5" t="inlineStr">
        <is>
          <t>23-53945-3</t>
        </is>
      </c>
      <c r="C13" s="5" t="inlineStr">
        <is>
          <t>AZRA SADIA ERAMONI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13">
        <f>IF(COUNT(F13:M13)=0,"",SUM(F13:M13))</f>
        <v/>
      </c>
      <c r="O13" s="5" t="n"/>
      <c r="P13" s="13">
        <f>IF(N13="","",MIN(20,N13+N(O13)))</f>
        <v/>
      </c>
      <c r="Q13" s="5" t="n"/>
    </row>
    <row r="14">
      <c r="A14" s="6" t="n">
        <v>10</v>
      </c>
      <c r="B14" s="5" t="inlineStr">
        <is>
          <t>23-55511-3</t>
        </is>
      </c>
      <c r="C14" s="5" t="inlineStr">
        <is>
          <t>TOSIM HOSSAIN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13">
        <f>IF(COUNT(F14:M14)=0,"",SUM(F14:M14))</f>
        <v/>
      </c>
      <c r="O14" s="5" t="n"/>
      <c r="P14" s="13">
        <f>IF(N14="","",MIN(20,N14+N(O14)))</f>
        <v/>
      </c>
      <c r="Q14" s="5" t="n"/>
    </row>
    <row r="15">
      <c r="A15" s="6" t="n">
        <v>11</v>
      </c>
      <c r="B15" s="5" t="inlineStr">
        <is>
          <t>24-56110-1</t>
        </is>
      </c>
      <c r="C15" s="5" t="inlineStr">
        <is>
          <t>SUMAIYA TABASSUM SUCHI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13">
        <f>IF(COUNT(F15:M15)=0,"",SUM(F15:M15))</f>
        <v/>
      </c>
      <c r="O15" s="5" t="n"/>
      <c r="P15" s="13">
        <f>IF(N15="","",MIN(20,N15+N(O15)))</f>
        <v/>
      </c>
      <c r="Q15" s="5" t="n"/>
    </row>
    <row r="16">
      <c r="A16" s="6" t="n">
        <v>12</v>
      </c>
      <c r="B16" s="5" t="inlineStr">
        <is>
          <t>24-57193-2</t>
        </is>
      </c>
      <c r="C16" s="5" t="inlineStr">
        <is>
          <t>ARIFA ASHRAFY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13">
        <f>IF(COUNT(F16:M16)=0,"",SUM(F16:M16))</f>
        <v/>
      </c>
      <c r="O16" s="5" t="n"/>
      <c r="P16" s="13">
        <f>IF(N16="","",MIN(20,N16+N(O16)))</f>
        <v/>
      </c>
      <c r="Q16" s="5" t="n"/>
    </row>
    <row r="17">
      <c r="A17" s="6" t="n">
        <v>13</v>
      </c>
      <c r="B17" s="5" t="inlineStr">
        <is>
          <t>24-57371-2</t>
        </is>
      </c>
      <c r="C17" s="5" t="inlineStr">
        <is>
          <t>NABILA ISLAM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13">
        <f>IF(COUNT(F17:M17)=0,"",SUM(F17:M17))</f>
        <v/>
      </c>
      <c r="O17" s="5" t="n"/>
      <c r="P17" s="13">
        <f>IF(N17="","",MIN(20,N17+N(O17)))</f>
        <v/>
      </c>
      <c r="Q17" s="5" t="n"/>
    </row>
    <row r="18">
      <c r="A18" s="6" t="n">
        <v>14</v>
      </c>
      <c r="B18" s="5" t="inlineStr">
        <is>
          <t>24-57433-2</t>
        </is>
      </c>
      <c r="C18" s="5" t="inlineStr">
        <is>
          <t>ADIB RAHMAN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13">
        <f>IF(COUNT(F18:M18)=0,"",SUM(F18:M18))</f>
        <v/>
      </c>
      <c r="O18" s="5" t="n"/>
      <c r="P18" s="13">
        <f>IF(N18="","",MIN(20,N18+N(O18)))</f>
        <v/>
      </c>
      <c r="Q18" s="5" t="n"/>
    </row>
    <row r="19">
      <c r="A19" s="6" t="n">
        <v>15</v>
      </c>
      <c r="B19" s="5" t="inlineStr">
        <is>
          <t>24-57868-2</t>
        </is>
      </c>
      <c r="C19" s="5" t="inlineStr">
        <is>
          <t>DIBOSH MODAK SHUVO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13">
        <f>IF(COUNT(F19:M19)=0,"",SUM(F19:M19))</f>
        <v/>
      </c>
      <c r="O19" s="5" t="n"/>
      <c r="P19" s="13">
        <f>IF(N19="","",MIN(20,N19+N(O19)))</f>
        <v/>
      </c>
      <c r="Q19" s="5" t="n"/>
    </row>
    <row r="20">
      <c r="A20" s="6" t="n">
        <v>16</v>
      </c>
      <c r="B20" s="5" t="inlineStr">
        <is>
          <t>24-58146-2</t>
        </is>
      </c>
      <c r="C20" s="5" t="inlineStr">
        <is>
          <t>SADIYA AKTER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13">
        <f>IF(COUNT(F20:M20)=0,"",SUM(F20:M20))</f>
        <v/>
      </c>
      <c r="O20" s="5" t="n"/>
      <c r="P20" s="13">
        <f>IF(N20="","",MIN(20,N20+N(O20)))</f>
        <v/>
      </c>
      <c r="Q20" s="5" t="n"/>
    </row>
    <row r="21">
      <c r="A21" s="6" t="n">
        <v>17</v>
      </c>
      <c r="B21" s="5" t="inlineStr">
        <is>
          <t>24-58369-2</t>
        </is>
      </c>
      <c r="C21" s="5" t="inlineStr">
        <is>
          <t>BADHON KABIRAJ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13">
        <f>IF(COUNT(F21:M21)=0,"",SUM(F21:M21))</f>
        <v/>
      </c>
      <c r="O21" s="5" t="n"/>
      <c r="P21" s="13">
        <f>IF(N21="","",MIN(20,N21+N(O21)))</f>
        <v/>
      </c>
      <c r="Q21" s="5" t="n"/>
    </row>
    <row r="22">
      <c r="A22" s="6" t="n">
        <v>18</v>
      </c>
      <c r="B22" s="5" t="inlineStr">
        <is>
          <t>24-58452-2</t>
        </is>
      </c>
      <c r="C22" s="5" t="inlineStr">
        <is>
          <t>MASHRAFI SHAHARIAR SMITOA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13">
        <f>IF(COUNT(F22:M22)=0,"",SUM(F22:M22))</f>
        <v/>
      </c>
      <c r="O22" s="5" t="n"/>
      <c r="P22" s="13">
        <f>IF(N22="","",MIN(20,N22+N(O22)))</f>
        <v/>
      </c>
      <c r="Q22" s="5" t="n"/>
    </row>
    <row r="23">
      <c r="A23" s="6" t="n">
        <v>19</v>
      </c>
      <c r="B23" s="5" t="inlineStr">
        <is>
          <t>24-58497-2</t>
        </is>
      </c>
      <c r="C23" s="5" t="inlineStr">
        <is>
          <t>NAHIYAN SAJID SAAD</t>
        </is>
      </c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13">
        <f>IF(COUNT(F23:M23)=0,"",SUM(F23:M23))</f>
        <v/>
      </c>
      <c r="O23" s="5" t="n"/>
      <c r="P23" s="13">
        <f>IF(N23="","",MIN(20,N23+N(O23)))</f>
        <v/>
      </c>
      <c r="Q23" s="5" t="n"/>
    </row>
    <row r="24">
      <c r="A24" s="6" t="n">
        <v>20</v>
      </c>
      <c r="B24" s="5" t="inlineStr">
        <is>
          <t>24-58646-2</t>
        </is>
      </c>
      <c r="C24" s="5" t="inlineStr">
        <is>
          <t>HOSSAIN MOHAMMAD TONMOY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13">
        <f>IF(COUNT(F24:M24)=0,"",SUM(F24:M24))</f>
        <v/>
      </c>
      <c r="O24" s="5" t="n"/>
      <c r="P24" s="13">
        <f>IF(N24="","",MIN(20,N24+N(O24)))</f>
        <v/>
      </c>
      <c r="Q24" s="5" t="n"/>
    </row>
    <row r="25">
      <c r="A25" s="6" t="n">
        <v>21</v>
      </c>
      <c r="B25" s="5" t="inlineStr">
        <is>
          <t>24-58681-2</t>
        </is>
      </c>
      <c r="C25" s="5" t="inlineStr">
        <is>
          <t>SHEFA BINTAY KASHEM</t>
        </is>
      </c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13">
        <f>IF(COUNT(F25:M25)=0,"",SUM(F25:M25))</f>
        <v/>
      </c>
      <c r="O25" s="5" t="n"/>
      <c r="P25" s="13">
        <f>IF(N25="","",MIN(20,N25+N(O25)))</f>
        <v/>
      </c>
      <c r="Q25" s="5" t="n"/>
    </row>
    <row r="26">
      <c r="A26" s="6" t="n">
        <v>22</v>
      </c>
      <c r="B26" s="5" t="inlineStr">
        <is>
          <t>24-59162-3</t>
        </is>
      </c>
      <c r="C26" s="5" t="inlineStr">
        <is>
          <t>SHAHRIAR NAFIZ NAHIN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13">
        <f>IF(COUNT(F26:M26)=0,"",SUM(F26:M26))</f>
        <v/>
      </c>
      <c r="O26" s="5" t="n"/>
      <c r="P26" s="13">
        <f>IF(N26="","",MIN(20,N26+N(O26)))</f>
        <v/>
      </c>
      <c r="Q26" s="5" t="n"/>
    </row>
    <row r="27">
      <c r="A27" s="6" t="n">
        <v>23</v>
      </c>
      <c r="B27" s="5" t="inlineStr">
        <is>
          <t>24-59219-3</t>
        </is>
      </c>
      <c r="C27" s="5" t="inlineStr">
        <is>
          <t>S.M. TAJ AHMED</t>
        </is>
      </c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13">
        <f>IF(COUNT(F27:M27)=0,"",SUM(F27:M27))</f>
        <v/>
      </c>
      <c r="O27" s="5" t="n"/>
      <c r="P27" s="13">
        <f>IF(N27="","",MIN(20,N27+N(O27)))</f>
        <v/>
      </c>
      <c r="Q27" s="5" t="n"/>
    </row>
    <row r="28">
      <c r="A28" s="6" t="n">
        <v>24</v>
      </c>
      <c r="B28" s="5" t="inlineStr">
        <is>
          <t>24-59221-3</t>
        </is>
      </c>
      <c r="C28" s="5" t="inlineStr">
        <is>
          <t>MARFIN SAROWAR SOWAD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13">
        <f>IF(COUNT(F28:M28)=0,"",SUM(F28:M28))</f>
        <v/>
      </c>
      <c r="O28" s="5" t="n"/>
      <c r="P28" s="13">
        <f>IF(N28="","",MIN(20,N28+N(O28)))</f>
        <v/>
      </c>
      <c r="Q28" s="5" t="n"/>
    </row>
    <row r="29">
      <c r="A29" s="6" t="n">
        <v>25</v>
      </c>
      <c r="B29" s="5" t="inlineStr">
        <is>
          <t>24-59241-3</t>
        </is>
      </c>
      <c r="C29" s="5" t="inlineStr">
        <is>
          <t>MD. ABDUR RAFI</t>
        </is>
      </c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13">
        <f>IF(COUNT(F29:M29)=0,"",SUM(F29:M29))</f>
        <v/>
      </c>
      <c r="O29" s="5" t="n"/>
      <c r="P29" s="13">
        <f>IF(N29="","",MIN(20,N29+N(O29)))</f>
        <v/>
      </c>
      <c r="Q29" s="5" t="n"/>
    </row>
    <row r="30">
      <c r="A30" s="6" t="n">
        <v>26</v>
      </c>
      <c r="B30" s="5" t="inlineStr">
        <is>
          <t>24-59275-3</t>
        </is>
      </c>
      <c r="C30" s="5" t="inlineStr">
        <is>
          <t>MD. TANVIR KHAN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13">
        <f>IF(COUNT(F30:M30)=0,"",SUM(F30:M30))</f>
        <v/>
      </c>
      <c r="O30" s="5" t="n"/>
      <c r="P30" s="13">
        <f>IF(N30="","",MIN(20,N30+N(O30)))</f>
        <v/>
      </c>
      <c r="Q30" s="5" t="n"/>
    </row>
    <row r="31">
      <c r="A31" s="6" t="n">
        <v>27</v>
      </c>
      <c r="B31" s="5" t="inlineStr">
        <is>
          <t>24-59277-3</t>
        </is>
      </c>
      <c r="C31" s="5" t="inlineStr">
        <is>
          <t>ROUNUKUL ISLAM RAIHAN</t>
        </is>
      </c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13">
        <f>IF(COUNT(F31:M31)=0,"",SUM(F31:M31))</f>
        <v/>
      </c>
      <c r="O31" s="5" t="n"/>
      <c r="P31" s="13">
        <f>IF(N31="","",MIN(20,N31+N(O31)))</f>
        <v/>
      </c>
      <c r="Q31" s="5" t="n"/>
    </row>
    <row r="32">
      <c r="A32" s="6" t="n">
        <v>28</v>
      </c>
      <c r="B32" s="5" t="inlineStr">
        <is>
          <t>24-59353-3</t>
        </is>
      </c>
      <c r="C32" s="5" t="inlineStr">
        <is>
          <t>ARNOB DAS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13">
        <f>IF(COUNT(F32:M32)=0,"",SUM(F32:M32))</f>
        <v/>
      </c>
      <c r="O32" s="5" t="n"/>
      <c r="P32" s="13">
        <f>IF(N32="","",MIN(20,N32+N(O32)))</f>
        <v/>
      </c>
      <c r="Q32" s="5" t="n"/>
    </row>
    <row r="33">
      <c r="A33" s="6" t="n">
        <v>29</v>
      </c>
      <c r="B33" s="5" t="inlineStr">
        <is>
          <t>24-59366-3</t>
        </is>
      </c>
      <c r="C33" s="5" t="inlineStr">
        <is>
          <t>MOHAMMAD RABIUL HOQUE</t>
        </is>
      </c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13">
        <f>IF(COUNT(F33:M33)=0,"",SUM(F33:M33))</f>
        <v/>
      </c>
      <c r="O33" s="5" t="n"/>
      <c r="P33" s="13">
        <f>IF(N33="","",MIN(20,N33+N(O33)))</f>
        <v/>
      </c>
      <c r="Q33" s="5" t="n"/>
    </row>
    <row r="34">
      <c r="A34" s="6" t="n">
        <v>30</v>
      </c>
      <c r="B34" s="5" t="inlineStr">
        <is>
          <t>24-59717-3</t>
        </is>
      </c>
      <c r="C34" s="5" t="inlineStr">
        <is>
          <t>FAATIN MUHAIMIN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13">
        <f>IF(COUNT(F34:M34)=0,"",SUM(F34:M34))</f>
        <v/>
      </c>
      <c r="O34" s="5" t="n"/>
      <c r="P34" s="13">
        <f>IF(N34="","",MIN(20,N34+N(O34)))</f>
        <v/>
      </c>
      <c r="Q34" s="5" t="n"/>
    </row>
    <row r="35">
      <c r="A35" s="6" t="n">
        <v>31</v>
      </c>
      <c r="B35" s="5" t="inlineStr">
        <is>
          <t>24-59733-3</t>
        </is>
      </c>
      <c r="C35" s="5" t="inlineStr">
        <is>
          <t>SEPAT CHOWDHURY SAMI</t>
        </is>
      </c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13">
        <f>IF(COUNT(F35:M35)=0,"",SUM(F35:M35))</f>
        <v/>
      </c>
      <c r="O35" s="5" t="n"/>
      <c r="P35" s="13">
        <f>IF(N35="","",MIN(20,N35+N(O35)))</f>
        <v/>
      </c>
      <c r="Q35" s="5" t="n"/>
    </row>
    <row r="36">
      <c r="A36" s="6" t="n">
        <v>32</v>
      </c>
      <c r="B36" s="5" t="inlineStr">
        <is>
          <t>24-59757-3</t>
        </is>
      </c>
      <c r="C36" s="5" t="inlineStr">
        <is>
          <t>SAMAUN CHOWDHURY RAAHIM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13">
        <f>IF(COUNT(F36:M36)=0,"",SUM(F36:M36))</f>
        <v/>
      </c>
      <c r="O36" s="5" t="n"/>
      <c r="P36" s="13">
        <f>IF(N36="","",MIN(20,N36+N(O36)))</f>
        <v/>
      </c>
      <c r="Q36" s="5" t="n"/>
    </row>
    <row r="37">
      <c r="A37" s="6" t="n">
        <v>33</v>
      </c>
      <c r="B37" s="5" t="inlineStr">
        <is>
          <t>24-59807-3</t>
        </is>
      </c>
      <c r="C37" s="5" t="inlineStr">
        <is>
          <t>ABDULLA AL FAHAD</t>
        </is>
      </c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13">
        <f>IF(COUNT(F37:M37)=0,"",SUM(F37:M37))</f>
        <v/>
      </c>
      <c r="O37" s="5" t="n"/>
      <c r="P37" s="13">
        <f>IF(N37="","",MIN(20,N37+N(O37)))</f>
        <v/>
      </c>
      <c r="Q37" s="5" t="n"/>
    </row>
    <row r="38">
      <c r="A38" s="6" t="n">
        <v>34</v>
      </c>
      <c r="B38" s="5" t="inlineStr">
        <is>
          <t>24-60102-3</t>
        </is>
      </c>
      <c r="C38" s="5" t="inlineStr">
        <is>
          <t>REDWAN MOHD MUKLES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13">
        <f>IF(COUNT(F38:M38)=0,"",SUM(F38:M38))</f>
        <v/>
      </c>
      <c r="O38" s="5" t="n"/>
      <c r="P38" s="13">
        <f>IF(N38="","",MIN(20,N38+N(O38)))</f>
        <v/>
      </c>
      <c r="Q38" s="5" t="n"/>
    </row>
    <row r="39">
      <c r="A39" s="6" t="n">
        <v>35</v>
      </c>
      <c r="B39" s="5" t="inlineStr">
        <is>
          <t>24-60103-3</t>
        </is>
      </c>
      <c r="C39" s="5" t="inlineStr">
        <is>
          <t>SHEIKH AL FATTAH</t>
        </is>
      </c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13">
        <f>IF(COUNT(F39:M39)=0,"",SUM(F39:M39))</f>
        <v/>
      </c>
      <c r="O39" s="5" t="n"/>
      <c r="P39" s="13">
        <f>IF(N39="","",MIN(20,N39+N(O39)))</f>
        <v/>
      </c>
      <c r="Q39" s="5" t="n"/>
    </row>
    <row r="40">
      <c r="A40" s="6" t="n">
        <v>36</v>
      </c>
      <c r="B40" s="5" t="inlineStr">
        <is>
          <t>24-60107-3</t>
        </is>
      </c>
      <c r="C40" s="5" t="inlineStr">
        <is>
          <t>AWLAD HOSSAIN ABIR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13">
        <f>IF(COUNT(F40:M40)=0,"",SUM(F40:M40))</f>
        <v/>
      </c>
      <c r="O40" s="5" t="n"/>
      <c r="P40" s="13">
        <f>IF(N40="","",MIN(20,N40+N(O40)))</f>
        <v/>
      </c>
      <c r="Q40" s="5" t="n"/>
    </row>
    <row r="41">
      <c r="A41" s="6" t="n">
        <v>37</v>
      </c>
      <c r="B41" s="5" t="inlineStr">
        <is>
          <t>24-60126-3</t>
        </is>
      </c>
      <c r="C41" s="5" t="inlineStr">
        <is>
          <t>MD. SHAIYAN BEAN OMAR</t>
        </is>
      </c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13">
        <f>IF(COUNT(F41:M41)=0,"",SUM(F41:M41))</f>
        <v/>
      </c>
      <c r="O41" s="5" t="n"/>
      <c r="P41" s="13">
        <f>IF(N41="","",MIN(20,N41+N(O41)))</f>
        <v/>
      </c>
      <c r="Q41" s="5" t="n"/>
    </row>
    <row r="42">
      <c r="A42" s="6" t="n">
        <v>38</v>
      </c>
      <c r="B42" s="5" t="inlineStr">
        <is>
          <t>25-61389-1</t>
        </is>
      </c>
      <c r="C42" s="5" t="inlineStr">
        <is>
          <t>MD. TOKY TAHMID SHOMRAT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13">
        <f>IF(COUNT(F42:M42)=0,"",SUM(F42:M42))</f>
        <v/>
      </c>
      <c r="O42" s="5" t="n"/>
      <c r="P42" s="13">
        <f>IF(N42="","",MIN(20,N42+N(O42)))</f>
        <v/>
      </c>
      <c r="Q42" s="5" t="n"/>
    </row>
  </sheetData>
  <mergeCells count="1"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2026-08-20T09:32:05Z</dcterms:created>
  <dcterms:modified xmlns:dcterms="http://purl.org/dc/terms/" xmlns:xsi="http://www.w3.org/2001/XMLSchema-instance" xsi:type="dcterms:W3CDTF">2026-08-20T09:32:05Z</dcterms:modified>
</cp:coreProperties>
</file>